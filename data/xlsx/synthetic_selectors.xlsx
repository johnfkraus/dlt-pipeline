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csv/"/>
    </mc:Choice>
  </mc:AlternateContent>
  <xr:revisionPtr revIDLastSave="0" documentId="13_ncr:40009_{6B073C35-50A1-C046-A67B-14DA53CDCAC1}" xr6:coauthVersionLast="47" xr6:coauthVersionMax="47" xr10:uidLastSave="{00000000-0000-0000-0000-000000000000}"/>
  <bookViews>
    <workbookView xWindow="400" yWindow="600" windowWidth="25440" windowHeight="15800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3" i="1"/>
  <c r="C6" i="1"/>
  <c r="B7" i="1"/>
  <c r="B8" i="1"/>
  <c r="B9" i="1"/>
  <c r="C10" i="1"/>
  <c r="C11" i="1"/>
  <c r="B12" i="1"/>
  <c r="C13" i="1"/>
  <c r="B14" i="1"/>
  <c r="C18" i="1"/>
  <c r="B23" i="1"/>
  <c r="C29" i="1"/>
  <c r="B31" i="1"/>
  <c r="B34" i="1"/>
  <c r="C34" i="1"/>
  <c r="C37" i="1"/>
  <c r="C38" i="1"/>
  <c r="C39" i="1"/>
  <c r="B41" i="1"/>
  <c r="C41" i="1"/>
  <c r="B43" i="1"/>
  <c r="C44" i="1"/>
  <c r="C45" i="1"/>
  <c r="C48" i="1"/>
  <c r="B50" i="1"/>
  <c r="C50" i="1"/>
  <c r="B51" i="1"/>
  <c r="C51" i="1"/>
</calcChain>
</file>

<file path=xl/sharedStrings.xml><?xml version="1.0" encoding="utf-8"?>
<sst xmlns="http://schemas.openxmlformats.org/spreadsheetml/2006/main" count="188" uniqueCount="175">
  <si>
    <t>id</t>
  </si>
  <si>
    <t>selector_a</t>
  </si>
  <si>
    <t>selector_b</t>
  </si>
  <si>
    <t>full_name</t>
  </si>
  <si>
    <t>meta</t>
  </si>
  <si>
    <t>f2ed5f0e-c3b8-4828-8479-ac886a69cb0b</t>
  </si>
  <si>
    <t>Jamie Garcia</t>
  </si>
  <si>
    <t>{"high_hitter_a":false,"lat":-60.992889,"source":"manual","selector_a_type":"phone","high_hitter_b":false,"other":"note","selector_b_type":"imei","table_name":"events","lon":-70.070714}</t>
  </si>
  <si>
    <t>427dba97-49c7-4b68-a807-55332ba7f7d8</t>
  </si>
  <si>
    <t>214.145.96.57</t>
  </si>
  <si>
    <t>Avery Garcia</t>
  </si>
  <si>
    <t>{"selector_a_type":"ip","other":"note","high_hitter_a":true,"high_hitter_b":true}</t>
  </si>
  <si>
    <t>63215403-b8e5-4933-8aa1-b67167fb754e</t>
  </si>
  <si>
    <t>Riley Smith</t>
  </si>
  <si>
    <t>{"high_hitter_a":true,"lon":-126.900028,"table_name":"sessions","source":"api"}</t>
  </si>
  <si>
    <t>60e5e51a-01a7-4fc5-a097-213a7c01ff36</t>
  </si>
  <si>
    <t>40.218.81.100</t>
  </si>
  <si>
    <t>Taylor Miller</t>
  </si>
  <si>
    <t>{"high_hitter_b":false,"table_name":"sessions","selector_a_type":"ip","other":791,"source":"api"}</t>
  </si>
  <si>
    <t>b28c3710-27da-4f02-8057-cbb6a09dadf4</t>
  </si>
  <si>
    <t>Casey Johnson</t>
  </si>
  <si>
    <t>{"lat":44.272847,"table_name":"devices","source":"etl_job","selector_b_type":"phone","selector_a_type":"imei"}</t>
  </si>
  <si>
    <t>740b98d7-c916-4c60-899b-47a7e7630cad</t>
  </si>
  <si>
    <t>Alex Martinez</t>
  </si>
  <si>
    <t>{"selector_b_type":"imei","other":"note","high_hitter_b":false,"lon":76.94671,"source":"manual","selector_a_type":"phone"}</t>
  </si>
  <si>
    <t>252ab86b-d45b-4cc6-87e5-eda42fd4d3c2</t>
  </si>
  <si>
    <t>Riley Brown</t>
  </si>
  <si>
    <t>{"source":"etl_job","other":"tag","high_hitter_b":true,"selector_b_type":"imei","selector_a_type":"phone","lat":80.902283,"high_hitter_a":true,"lon":-158.833177,"table_name":"sessions"}</t>
  </si>
  <si>
    <t>074b70f8-911f-43b6-b4dd-eeaf5820024f</t>
  </si>
  <si>
    <t>024546781043762</t>
  </si>
  <si>
    <t>Riley Jones</t>
  </si>
  <si>
    <t>{"source":"batch_import","selector_a_type":"phone","lon":62.649258,"high_hitter_b":true,"selector_b_type":"imei","other":152}</t>
  </si>
  <si>
    <t>458ec0c3-ab83-46f0-8dcb-b1f8b2870381</t>
  </si>
  <si>
    <t>Drew Martinez</t>
  </si>
  <si>
    <t>{"lon":92.527126,"selector_a_type":"imei","lat":56.313781,"high_hitter_b":true,"selector_b_type":"phone","table_name":"sessions","other":"note","high_hitter_a":false}</t>
  </si>
  <si>
    <t>a9166323-2113-40b3-b656-2a8ab7e21d4e</t>
  </si>
  <si>
    <t>Riley Johnson</t>
  </si>
  <si>
    <t>{"other":"note","selector_a_type":"imei","table_name":"events","lon":-148.346771,"lat":75.867162,"high_hitter_b":false,"source":"etl_job","selector_b_type":"phone","high_hitter_a":true}</t>
  </si>
  <si>
    <t>3ac78aa5-5f97-4309-88f4-93384f2f51a0</t>
  </si>
  <si>
    <t>70.218.175.87</t>
  </si>
  <si>
    <t>Riley Miller</t>
  </si>
  <si>
    <t>{"lon":-93.214639,"selector_a_type":"phone","high_hitter_b":true,"other":"tag"}</t>
  </si>
  <si>
    <t>a5d73806-2ec9-427f-9457-f0b8dbe63b23</t>
  </si>
  <si>
    <t>174.139.157.24</t>
  </si>
  <si>
    <t>Quinn Brown</t>
  </si>
  <si>
    <t>{"selector_b_type":"phone","high_hitter_a":false,"selector_a_type":"ip","lon":-73.415068,"other":"tag","lat":14.214712,"table_name":"devices","source":"api","high_hitter_b":true}</t>
  </si>
  <si>
    <t>f1cb1fa9-5d9d-4385-a4b0-45bdd0f97ce9</t>
  </si>
  <si>
    <t>154.57.136.21</t>
  </si>
  <si>
    <t>Alex Jones</t>
  </si>
  <si>
    <t>{"source":"etl_job","other":"note","high_hitter_b":true,"selector_a_type":"phone","lon":17.109498}</t>
  </si>
  <si>
    <t>8e927380-6e46-4712-a21e-ac7b2bc19179</t>
  </si>
  <si>
    <t>228.174.65.19</t>
  </si>
  <si>
    <t>144.224.25.39</t>
  </si>
  <si>
    <t>Morgan Miller</t>
  </si>
  <si>
    <t>{"high_hitter_b":false,"source":"manual","other":"tag","lat":44.462609,"lon":-146.422045,"selector_b_type":"ip"}</t>
  </si>
  <si>
    <t>b6ccb34b-d6c9-44b9-a61d-6623b7c15357</t>
  </si>
  <si>
    <t>71.44.5.96</t>
  </si>
  <si>
    <t>{"selector_a_type":"imei","lon":119.26643,"high_hitter_b":true,"high_hitter_a":true,"lat":18.317649,"table_name":"sessions","selector_b_type":"ip","source":"api","other":"misc"}</t>
  </si>
  <si>
    <t>2840b256-22b2-4d64-afd5-558df420517e</t>
  </si>
  <si>
    <t>129.98.102.49</t>
  </si>
  <si>
    <t>11.36.157.103</t>
  </si>
  <si>
    <t>Casey Lopez</t>
  </si>
  <si>
    <t>{"lon":98.579441,"selector_b_type":"ip","selector_a_type":"ip","source":"batch_import","lat":-66.348452}</t>
  </si>
  <si>
    <t>6392966f-1bf8-4141-bf7a-35185a3461ad</t>
  </si>
  <si>
    <t>Avery Smith</t>
  </si>
  <si>
    <t>{"table_name":"sessions","other":"tag","source":"manual","high_hitter_b":true,"lat":-57.797035,"high_hitter_a":true}</t>
  </si>
  <si>
    <t>8bff8a93-c2f3-456c-86f3-c6a62d1487ef</t>
  </si>
  <si>
    <t>Quinn Smith</t>
  </si>
  <si>
    <t>{"high_hitter_b":true,"lon":102.375718,"other":69,"selector_a_type":"imei","table_name":"calls","source":"etl_job","lat":-10.409358,"high_hitter_a":false}</t>
  </si>
  <si>
    <t>6039cf8f-4a30-4014-9d21-d5ecdd94f873</t>
  </si>
  <si>
    <t>045586461383109</t>
  </si>
  <si>
    <t>{"selector_b_type":"imei","other":410,"lon":33.248779,"selector_a_type":"imei","source":"batch_import","high_hitter_b":true}</t>
  </si>
  <si>
    <t>48951775-bb3a-4bec-b80d-0c5d40d0a97b</t>
  </si>
  <si>
    <t>{"table_name":"sessions","lon":90.224842,"selector_a_type":"imei","high_hitter_b":true,"high_hitter_a":true,"selector_b_type":"imei"}</t>
  </si>
  <si>
    <t>622ec483-916c-4f59-bbc6-4a3f25e43f3d</t>
  </si>
  <si>
    <t>45.110.236.157</t>
  </si>
  <si>
    <t>{"high_hitter_b":true,"selector_a_type":"imei","source":"etl_job","lon":-114.941428,"selector_b_type":"ip","other":"note","lat":39.314368}</t>
  </si>
  <si>
    <t>8e2971a4-b4d9-4935-9153-8c229df9c97f</t>
  </si>
  <si>
    <t>83.215.53.240</t>
  </si>
  <si>
    <t>Alex Davis</t>
  </si>
  <si>
    <t>{"other":"note","selector_b_type":"ip","high_hitter_a":false,"table_name":"events","selector_a_type":"phone","high_hitter_b":true}</t>
  </si>
  <si>
    <t>aa486bb7-853b-4260-b21d-77b4c304aec1</t>
  </si>
  <si>
    <t>186.35.142.123</t>
  </si>
  <si>
    <t>Riley Martinez</t>
  </si>
  <si>
    <t>{"selector_b_type":"imei","high_hitter_a":false,"lon":4.774578,"high_hitter_b":false,"lat":-39.797089,"table_name":"calls"}</t>
  </si>
  <si>
    <t>4edab885-c872-4e55-b0c0-7021a98a1bf6</t>
  </si>
  <si>
    <t>Jamie Williams</t>
  </si>
  <si>
    <t>{"source":"batch_import","lat":-24.372931,"lon":-120.6243,"selector_b_type":"imei"}</t>
  </si>
  <si>
    <t>154f6e8f-383f-4e35-b17f-132b9fca7691</t>
  </si>
  <si>
    <t>58.31.99.48</t>
  </si>
  <si>
    <t>137.57.191.25</t>
  </si>
  <si>
    <t>Jordan Williams</t>
  </si>
  <si>
    <t>{"lat":27.684077,"other":"note","selector_a_type":"ip","high_hitter_a":true,"high_hitter_b":true,"source":"etl_job"}</t>
  </si>
  <si>
    <t>a2f8fd9f-fe5a-485b-943f-60a0d604e91d</t>
  </si>
  <si>
    <t>144.116.34.143</t>
  </si>
  <si>
    <t>{"high_hitter_a":true,"source":"api","selector_b_type":"imei","selector_a_type":"ip","lat":82.153146}</t>
  </si>
  <si>
    <t>484d0b44-ddab-4708-8fd9-28bb59ef8a13</t>
  </si>
  <si>
    <t>36.145.149.212</t>
  </si>
  <si>
    <t>021751051710088</t>
  </si>
  <si>
    <t>Drew Jones</t>
  </si>
  <si>
    <t>{"selector_a_type":"ip","other":"note","high_hitter_b":false,"source":"batch_import","table_name":"calls","selector_b_type":"imei","high_hitter_a":false}</t>
  </si>
  <si>
    <t>c86f77b2-e75f-4f56-a064-c7b1c147fea1</t>
  </si>
  <si>
    <t>{"source":"manual","lat":78.823537,"high_hitter_a":true,"other":"note","selector_a_type":"imei","lon":-109.132177,"selector_b_type":"phone"}</t>
  </si>
  <si>
    <t>aff54bff-5806-456f-b591-6a34f16c6e70</t>
  </si>
  <si>
    <t>Drew Williams</t>
  </si>
  <si>
    <t>{"lon":50.544592,"source":"api","selector_a_type":"imei","selector_b_type":"imei","lat":56.915045,"table_name":"sessions","other":"misc","high_hitter_a":false,"high_hitter_b":false}</t>
  </si>
  <si>
    <t>e1fec081-1d15-43a9-890a-5815fdb1d20f</t>
  </si>
  <si>
    <t>Morgan Williams</t>
  </si>
  <si>
    <t>{"selector_b_type":"imei","high_hitter_b":true,"table_name":"devices","other":599}</t>
  </si>
  <si>
    <t>3fec07bc-deaa-4030-8398-0303a7650dc2</t>
  </si>
  <si>
    <t>64.7.151.122</t>
  </si>
  <si>
    <t>Jamie Smith</t>
  </si>
  <si>
    <t>{"other":"note","high_hitter_b":false,"selector_b_type":"imei","lat":-9.177769}</t>
  </si>
  <si>
    <t>c3098e0e-c7c0-4f36-93ce-76adf425fedd</t>
  </si>
  <si>
    <t>078806523847270</t>
  </si>
  <si>
    <t>228.51.95.44</t>
  </si>
  <si>
    <t>Morgan Davis</t>
  </si>
  <si>
    <t>{"lat":54.860189,"selector_b_type":"ip","table_name":"devices","source":"api","other":"note","lon":140.526834,"selector_a_type":"imei","high_hitter_b":true,"high_hitter_a":true}</t>
  </si>
  <si>
    <t>db8debef-00f7-43bb-a938-f75affb42457</t>
  </si>
  <si>
    <t>Morgan Jones</t>
  </si>
  <si>
    <t>{"high_hitter_b":false,"high_hitter_a":true,"source":"etl_job","table_name":"events","selector_b_type":"phone","selector_a_type":"phone","lat":14.076543}</t>
  </si>
  <si>
    <t>8a835ea5-3848-4151-9214-3082fe0713d3</t>
  </si>
  <si>
    <t>140.172.109.136</t>
  </si>
  <si>
    <t>Jordan Martinez</t>
  </si>
  <si>
    <t>{"lat":87.3346,"table_name":"sessions","other":181,"source":"etl_job"}</t>
  </si>
  <si>
    <t>2c7e0406-76a4-494e-9348-82b111653a1b</t>
  </si>
  <si>
    <t>74.12.168.1</t>
  </si>
  <si>
    <t>Jordan Smith</t>
  </si>
  <si>
    <t>{"other":837,"selector_b_type":"imei","source":"manual","lat":73.536278,"high_hitter_b":true,"selector_a_type":"ip","high_hitter_a":true}</t>
  </si>
  <si>
    <t>5dad74a8-e8a2-43e0-b1a8-d2670d6a5028</t>
  </si>
  <si>
    <t>95.96.60.73</t>
  </si>
  <si>
    <t>{"source":"manual","table_name":"events","lat":-40.7053,"other":422,"lon":-105.70465,"high_hitter_a":false}</t>
  </si>
  <si>
    <t>55c9981d-4868-4c0b-9dd6-fd4e320078c0</t>
  </si>
  <si>
    <t>Alex Johnson</t>
  </si>
  <si>
    <t>{"high_hitter_b":true,"source":"manual","selector_b_type":"phone","lat":26.408652,"high_hitter_a":true,"other":756,"table_name":"events","lon":144.31892,"selector_a_type":"imei"}</t>
  </si>
  <si>
    <t>18c8836b-d8e1-43aa-a1ad-43f0e819f92d</t>
  </si>
  <si>
    <t>{"table_name":"sessions","high_hitter_b":true,"lat":-23.827417,"other":"tag","selector_b_type":"phone","lon":68.059423,"source":"manual","selector_a_type":"imei"}</t>
  </si>
  <si>
    <t>533f6caa-2a7a-4fee-a7c5-8027c49072ac</t>
  </si>
  <si>
    <t>200.124.75.178</t>
  </si>
  <si>
    <t>{"table_name":"sessions","high_hitter_a":false,"lat":-59.093619,"selector_a_type":"ip","lon":64.471618}</t>
  </si>
  <si>
    <t>d7132780-92f3-4c4c-b6e0-0a6fc2662e02</t>
  </si>
  <si>
    <t>{"selector_b_type":"phone","lon":-12.838193,"selector_a_type":"phone","table_name":"events","lat":65.257883,"source":"manual","other":"note","high_hitter_a":true,"high_hitter_b":true}</t>
  </si>
  <si>
    <t>154754aa-ae8f-46bd-926e-817c3c18e7a3</t>
  </si>
  <si>
    <t>218.90.88.232</t>
  </si>
  <si>
    <t>192.190.225.43</t>
  </si>
  <si>
    <t>{"lat":55.49476,"high_hitter_a":false,"lon":-81.012131,"table_name":"events"}</t>
  </si>
  <si>
    <t>9627baba-2bd2-4628-bb34-b1417d923dfb</t>
  </si>
  <si>
    <t>228.50.59.38</t>
  </si>
  <si>
    <t>Jordan Davis</t>
  </si>
  <si>
    <t>{"table_name":"events","selector_a_type":"phone","other":"misc","lon":-139.261254,"high_hitter_a":false,"selector_b_type":"ip","high_hitter_b":true,"source":"batch_import"}</t>
  </si>
  <si>
    <t>61084a66-8206-472b-aff0-efa256e5fea0</t>
  </si>
  <si>
    <t>155.182.146.132</t>
  </si>
  <si>
    <t>Taylor Lopez</t>
  </si>
  <si>
    <t>{"selector_a_type":"ip","lat":81.515601,"selector_b_type":"phone","high_hitter_b":false,"other":"note"}</t>
  </si>
  <si>
    <t>20b07516-56c4-4a2c-a45e-1a14c508e010</t>
  </si>
  <si>
    <t>213.8.75.194</t>
  </si>
  <si>
    <t>Drew Brown</t>
  </si>
  <si>
    <t>{"selector_b_type":"phone","lon":101.747276,"lat":51.431677,"source":"etl_job","table_name":"calls","high_hitter_b":true,"selector_a_type":"ip","other":"misc","high_hitter_a":true}</t>
  </si>
  <si>
    <t>d7baca40-ff5f-411e-85e0-9a5c4a3104d7</t>
  </si>
  <si>
    <t>Avery Brown</t>
  </si>
  <si>
    <t>{"other":"misc","source":"manual","lat":73.889271,"selector_a_type":"imei","high_hitter_b":true,"selector_b_type":"imei","lon":121.890691}</t>
  </si>
  <si>
    <t>80182fc2-964e-48b9-9573-992f6bbec7f8</t>
  </si>
  <si>
    <t>{"high_hitter_b":false,"high_hitter_a":false,"selector_a_type":"imei","lon":-75.252266,"selector_b_type":"imei","table_name":"sessions","other":"tag"}</t>
  </si>
  <si>
    <t>c62d0b10-c3dc-4bbe-b32c-4fa4a3f80c6a</t>
  </si>
  <si>
    <t>{"high_hitter_b":true,"lon":83.609818,"other":180,"table_name":"events","high_hitter_a":false,"source":"api"}</t>
  </si>
  <si>
    <t>86957b90-66c2-4724-94da-31b92b131877</t>
  </si>
  <si>
    <t>132.36.45.13</t>
  </si>
  <si>
    <t>Riley Lopez</t>
  </si>
  <si>
    <t>{"selector_a_type":"imei","lat":-2.966908,"selector_b_type":"ip","table_name":"calls"}</t>
  </si>
  <si>
    <t>a3c9ac55-f08d-49cc-807c-18ae2a089375</t>
  </si>
  <si>
    <t>Avery Martinez</t>
  </si>
  <si>
    <t>{"other":"note","high_hitter_a":true,"source":"batch_import","lat":74.253201,"lon":-170.55961,"selector_b_type":"phone","table_name":"sessions","selector_a_type":"phone","high_hitter_b":false}</t>
  </si>
  <si>
    <t>009294f8-f7f0-468e-ad3f-14f8bc94ea1e</t>
  </si>
  <si>
    <t>Morgan Martinez</t>
  </si>
  <si>
    <t>{"high_hitter_a":true,"lon":80.128989,"table_name":"devices","other":"misc"}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</si>
</sst>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f>1-202-469-5294</f>
        <v>-5964</v>
      </c>
      <c r="C2">
        <v>931088993615309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>
        <f>1-310-674-6913</f>
        <v>-7896</v>
      </c>
      <c r="D3" t="s">
        <v>10</v>
      </c>
      <c r="E3" t="s">
        <v>11</v>
      </c>
    </row>
    <row r="4" spans="1:5" x14ac:dyDescent="0.2">
      <c r="A4" t="s">
        <v>12</v>
      </c>
      <c r="B4">
        <v>633786201884812</v>
      </c>
      <c r="C4">
        <v>749985243809432</v>
      </c>
      <c r="D4" t="s">
        <v>13</v>
      </c>
      <c r="E4" t="s">
        <v>14</v>
      </c>
    </row>
    <row r="5" spans="1:5" x14ac:dyDescent="0.2">
      <c r="A5" t="s">
        <v>15</v>
      </c>
      <c r="B5" t="s">
        <v>16</v>
      </c>
      <c r="C5">
        <v>811033830295100</v>
      </c>
      <c r="D5" t="s">
        <v>17</v>
      </c>
      <c r="E5" t="s">
        <v>18</v>
      </c>
    </row>
    <row r="6" spans="1:5" x14ac:dyDescent="0.2">
      <c r="A6" t="s">
        <v>19</v>
      </c>
      <c r="B6">
        <v>911533738616970</v>
      </c>
      <c r="C6">
        <f>1-212-904-3100</f>
        <v>-4215</v>
      </c>
      <c r="D6" t="s">
        <v>20</v>
      </c>
      <c r="E6" t="s">
        <v>21</v>
      </c>
    </row>
    <row r="7" spans="1:5" x14ac:dyDescent="0.2">
      <c r="A7" t="s">
        <v>22</v>
      </c>
      <c r="B7">
        <f>1-305-956-8312</f>
        <v>-9572</v>
      </c>
      <c r="C7">
        <v>218692112773522</v>
      </c>
      <c r="D7" t="s">
        <v>23</v>
      </c>
      <c r="E7" t="s">
        <v>24</v>
      </c>
    </row>
    <row r="8" spans="1:5" x14ac:dyDescent="0.2">
      <c r="A8" t="s">
        <v>25</v>
      </c>
      <c r="B8">
        <f>1-646-960-6732</f>
        <v>-8337</v>
      </c>
      <c r="C8">
        <v>239590812730658</v>
      </c>
      <c r="D8" t="s">
        <v>26</v>
      </c>
      <c r="E8" t="s">
        <v>27</v>
      </c>
    </row>
    <row r="9" spans="1:5" x14ac:dyDescent="0.2">
      <c r="A9" t="s">
        <v>28</v>
      </c>
      <c r="B9">
        <f>1-305-463-5133</f>
        <v>-5900</v>
      </c>
      <c r="C9" s="1" t="s">
        <v>29</v>
      </c>
      <c r="D9" t="s">
        <v>30</v>
      </c>
      <c r="E9" t="s">
        <v>31</v>
      </c>
    </row>
    <row r="10" spans="1:5" x14ac:dyDescent="0.2">
      <c r="A10" t="s">
        <v>32</v>
      </c>
      <c r="B10">
        <v>992461839868128</v>
      </c>
      <c r="C10">
        <f>1-415-388-1063</f>
        <v>-1865</v>
      </c>
      <c r="D10" t="s">
        <v>33</v>
      </c>
      <c r="E10" t="s">
        <v>34</v>
      </c>
    </row>
    <row r="11" spans="1:5" x14ac:dyDescent="0.2">
      <c r="A11" t="s">
        <v>35</v>
      </c>
      <c r="B11">
        <v>494489473215131</v>
      </c>
      <c r="C11">
        <f>1-718-577-4601</f>
        <v>-5895</v>
      </c>
      <c r="D11" t="s">
        <v>36</v>
      </c>
      <c r="E11" t="s">
        <v>37</v>
      </c>
    </row>
    <row r="12" spans="1:5" x14ac:dyDescent="0.2">
      <c r="A12" t="s">
        <v>38</v>
      </c>
      <c r="B12">
        <f>1-718-578-6345</f>
        <v>-7640</v>
      </c>
      <c r="C12" t="s">
        <v>39</v>
      </c>
      <c r="D12" t="s">
        <v>40</v>
      </c>
      <c r="E12" t="s">
        <v>41</v>
      </c>
    </row>
    <row r="13" spans="1:5" x14ac:dyDescent="0.2">
      <c r="A13" t="s">
        <v>42</v>
      </c>
      <c r="B13" t="s">
        <v>43</v>
      </c>
      <c r="C13">
        <f>1-305-897-3699</f>
        <v>-4900</v>
      </c>
      <c r="D13" t="s">
        <v>44</v>
      </c>
      <c r="E13" t="s">
        <v>45</v>
      </c>
    </row>
    <row r="14" spans="1:5" x14ac:dyDescent="0.2">
      <c r="A14" t="s">
        <v>46</v>
      </c>
      <c r="B14">
        <f>1-310-374-1939</f>
        <v>-2622</v>
      </c>
      <c r="C14" t="s">
        <v>47</v>
      </c>
      <c r="D14" t="s">
        <v>48</v>
      </c>
      <c r="E14" t="s">
        <v>49</v>
      </c>
    </row>
    <row r="15" spans="1:5" x14ac:dyDescent="0.2">
      <c r="A15" s="2" t="s">
        <v>50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2">
      <c r="A16" t="s">
        <v>55</v>
      </c>
      <c r="B16">
        <v>525690319996501</v>
      </c>
      <c r="C16" t="s">
        <v>56</v>
      </c>
      <c r="D16" t="s">
        <v>26</v>
      </c>
      <c r="E16" t="s">
        <v>57</v>
      </c>
    </row>
    <row r="17" spans="1:5" x14ac:dyDescent="0.2">
      <c r="A17" t="s">
        <v>58</v>
      </c>
      <c r="B17" t="s">
        <v>59</v>
      </c>
      <c r="C17" t="s">
        <v>60</v>
      </c>
      <c r="D17" t="s">
        <v>61</v>
      </c>
      <c r="E17" t="s">
        <v>62</v>
      </c>
    </row>
    <row r="18" spans="1:5" x14ac:dyDescent="0.2">
      <c r="A18" t="s">
        <v>63</v>
      </c>
      <c r="B18">
        <v>795132447781905</v>
      </c>
      <c r="C18">
        <f>1-415-875-2138</f>
        <v>-3427</v>
      </c>
      <c r="D18" t="s">
        <v>64</v>
      </c>
      <c r="E18" t="s">
        <v>65</v>
      </c>
    </row>
    <row r="19" spans="1:5" x14ac:dyDescent="0.2">
      <c r="A19" t="s">
        <v>66</v>
      </c>
      <c r="B19">
        <v>649004776361744</v>
      </c>
      <c r="C19">
        <v>123329176036354</v>
      </c>
      <c r="D19" t="s">
        <v>67</v>
      </c>
      <c r="E19" t="s">
        <v>68</v>
      </c>
    </row>
    <row r="20" spans="1:5" x14ac:dyDescent="0.2">
      <c r="A20" t="s">
        <v>69</v>
      </c>
      <c r="B20">
        <v>926412418609619</v>
      </c>
      <c r="C20" s="1" t="s">
        <v>70</v>
      </c>
      <c r="D20" t="s">
        <v>64</v>
      </c>
      <c r="E20" t="s">
        <v>71</v>
      </c>
    </row>
    <row r="21" spans="1:5" x14ac:dyDescent="0.2">
      <c r="A21" t="s">
        <v>72</v>
      </c>
      <c r="B21">
        <v>697319516831074</v>
      </c>
      <c r="C21">
        <v>244112977561145</v>
      </c>
      <c r="D21" t="s">
        <v>44</v>
      </c>
      <c r="E21" t="s">
        <v>73</v>
      </c>
    </row>
    <row r="22" spans="1:5" x14ac:dyDescent="0.2">
      <c r="A22" t="s">
        <v>74</v>
      </c>
      <c r="B22">
        <v>685887506715036</v>
      </c>
      <c r="C22" t="s">
        <v>75</v>
      </c>
      <c r="D22" t="s">
        <v>23</v>
      </c>
      <c r="E22" t="s">
        <v>76</v>
      </c>
    </row>
    <row r="23" spans="1:5" x14ac:dyDescent="0.2">
      <c r="A23" s="2" t="s">
        <v>77</v>
      </c>
      <c r="B23">
        <f>1-310-419-6661</f>
        <v>-7389</v>
      </c>
      <c r="C23" t="s">
        <v>78</v>
      </c>
      <c r="D23" t="s">
        <v>79</v>
      </c>
      <c r="E23" t="s">
        <v>80</v>
      </c>
    </row>
    <row r="24" spans="1:5" x14ac:dyDescent="0.2">
      <c r="A24" t="s">
        <v>81</v>
      </c>
      <c r="B24" t="s">
        <v>82</v>
      </c>
      <c r="C24">
        <v>327507854734817</v>
      </c>
      <c r="D24" t="s">
        <v>83</v>
      </c>
      <c r="E24" t="s">
        <v>84</v>
      </c>
    </row>
    <row r="25" spans="1:5" x14ac:dyDescent="0.2">
      <c r="A25" t="s">
        <v>85</v>
      </c>
      <c r="B25">
        <v>956366954894576</v>
      </c>
      <c r="C25">
        <v>319092305722060</v>
      </c>
      <c r="D25" t="s">
        <v>86</v>
      </c>
      <c r="E25" t="s">
        <v>87</v>
      </c>
    </row>
    <row r="26" spans="1:5" x14ac:dyDescent="0.2">
      <c r="A26" t="s">
        <v>88</v>
      </c>
      <c r="B26" t="s">
        <v>89</v>
      </c>
      <c r="C26" t="s">
        <v>90</v>
      </c>
      <c r="D26" t="s">
        <v>91</v>
      </c>
      <c r="E26" t="s">
        <v>92</v>
      </c>
    </row>
    <row r="27" spans="1:5" x14ac:dyDescent="0.2">
      <c r="A27" t="s">
        <v>93</v>
      </c>
      <c r="B27" t="s">
        <v>94</v>
      </c>
      <c r="C27">
        <v>811100170582605</v>
      </c>
      <c r="D27" t="s">
        <v>20</v>
      </c>
      <c r="E27" t="s">
        <v>95</v>
      </c>
    </row>
    <row r="28" spans="1:5" x14ac:dyDescent="0.2">
      <c r="A28" t="s">
        <v>96</v>
      </c>
      <c r="B28" t="s">
        <v>97</v>
      </c>
      <c r="C28" s="1" t="s">
        <v>98</v>
      </c>
      <c r="D28" t="s">
        <v>99</v>
      </c>
      <c r="E28" t="s">
        <v>100</v>
      </c>
    </row>
    <row r="29" spans="1:5" x14ac:dyDescent="0.2">
      <c r="A29" t="s">
        <v>101</v>
      </c>
      <c r="B29">
        <v>184144177674128</v>
      </c>
      <c r="C29">
        <f>1-202-367-6103</f>
        <v>-6671</v>
      </c>
      <c r="D29" t="s">
        <v>44</v>
      </c>
      <c r="E29" t="s">
        <v>102</v>
      </c>
    </row>
    <row r="30" spans="1:5" x14ac:dyDescent="0.2">
      <c r="A30" t="s">
        <v>103</v>
      </c>
      <c r="B30">
        <v>197954261846810</v>
      </c>
      <c r="C30">
        <v>712133850707192</v>
      </c>
      <c r="D30" t="s">
        <v>104</v>
      </c>
      <c r="E30" t="s">
        <v>105</v>
      </c>
    </row>
    <row r="31" spans="1:5" x14ac:dyDescent="0.2">
      <c r="A31" t="s">
        <v>106</v>
      </c>
      <c r="B31">
        <f>1-202-243-6863</f>
        <v>-7307</v>
      </c>
      <c r="C31">
        <v>142040799780386</v>
      </c>
      <c r="D31" t="s">
        <v>107</v>
      </c>
      <c r="E31" t="s">
        <v>108</v>
      </c>
    </row>
    <row r="32" spans="1:5" x14ac:dyDescent="0.2">
      <c r="A32" t="s">
        <v>109</v>
      </c>
      <c r="B32" t="s">
        <v>110</v>
      </c>
      <c r="C32">
        <v>464363655230657</v>
      </c>
      <c r="D32" t="s">
        <v>111</v>
      </c>
      <c r="E32" t="s">
        <v>112</v>
      </c>
    </row>
    <row r="33" spans="1:5" x14ac:dyDescent="0.2">
      <c r="A33" t="s">
        <v>113</v>
      </c>
      <c r="B33" s="1" t="s">
        <v>114</v>
      </c>
      <c r="C33" t="s">
        <v>115</v>
      </c>
      <c r="D33" t="s">
        <v>116</v>
      </c>
      <c r="E33" t="s">
        <v>117</v>
      </c>
    </row>
    <row r="34" spans="1:5" x14ac:dyDescent="0.2">
      <c r="A34" t="s">
        <v>118</v>
      </c>
      <c r="B34">
        <f>1-718-895-4382</f>
        <v>-5994</v>
      </c>
      <c r="C34">
        <f>1-202-714-8015</f>
        <v>-8930</v>
      </c>
      <c r="D34" t="s">
        <v>119</v>
      </c>
      <c r="E34" t="s">
        <v>120</v>
      </c>
    </row>
    <row r="35" spans="1:5" x14ac:dyDescent="0.2">
      <c r="A35" t="s">
        <v>121</v>
      </c>
      <c r="B35" t="s">
        <v>122</v>
      </c>
      <c r="C35">
        <v>901335520216774</v>
      </c>
      <c r="D35" t="s">
        <v>123</v>
      </c>
      <c r="E35" t="s">
        <v>124</v>
      </c>
    </row>
    <row r="36" spans="1:5" x14ac:dyDescent="0.2">
      <c r="A36" t="s">
        <v>125</v>
      </c>
      <c r="B36" t="s">
        <v>126</v>
      </c>
      <c r="C36">
        <v>891817046291938</v>
      </c>
      <c r="D36" t="s">
        <v>127</v>
      </c>
      <c r="E36" t="s">
        <v>128</v>
      </c>
    </row>
    <row r="37" spans="1:5" x14ac:dyDescent="0.2">
      <c r="A37" t="s">
        <v>129</v>
      </c>
      <c r="B37" t="s">
        <v>130</v>
      </c>
      <c r="C37">
        <f>1-212-882-8991</f>
        <v>-10084</v>
      </c>
      <c r="D37" t="s">
        <v>53</v>
      </c>
      <c r="E37" t="s">
        <v>131</v>
      </c>
    </row>
    <row r="38" spans="1:5" x14ac:dyDescent="0.2">
      <c r="A38" t="s">
        <v>132</v>
      </c>
      <c r="B38">
        <v>987806545970735</v>
      </c>
      <c r="C38">
        <f>1-310-888-2970</f>
        <v>-4167</v>
      </c>
      <c r="D38" t="s">
        <v>133</v>
      </c>
      <c r="E38" t="s">
        <v>134</v>
      </c>
    </row>
    <row r="39" spans="1:5" x14ac:dyDescent="0.2">
      <c r="A39" t="s">
        <v>135</v>
      </c>
      <c r="B39">
        <v>577004557242852</v>
      </c>
      <c r="C39">
        <f>1-646-303-4298</f>
        <v>-5246</v>
      </c>
      <c r="D39" t="s">
        <v>83</v>
      </c>
      <c r="E39" t="s">
        <v>136</v>
      </c>
    </row>
    <row r="40" spans="1:5" x14ac:dyDescent="0.2">
      <c r="A40" t="s">
        <v>137</v>
      </c>
      <c r="B40" t="s">
        <v>138</v>
      </c>
      <c r="C40">
        <v>452104639902874</v>
      </c>
      <c r="D40" t="s">
        <v>6</v>
      </c>
      <c r="E40" t="s">
        <v>139</v>
      </c>
    </row>
    <row r="41" spans="1:5" x14ac:dyDescent="0.2">
      <c r="A41" t="s">
        <v>140</v>
      </c>
      <c r="B41">
        <f>1-646-921-4993</f>
        <v>-6559</v>
      </c>
      <c r="C41">
        <f>1-310-524-1075</f>
        <v>-1908</v>
      </c>
      <c r="D41" t="s">
        <v>127</v>
      </c>
      <c r="E41" t="s">
        <v>141</v>
      </c>
    </row>
    <row r="42" spans="1:5" x14ac:dyDescent="0.2">
      <c r="A42" t="s">
        <v>142</v>
      </c>
      <c r="B42" t="s">
        <v>143</v>
      </c>
      <c r="C42" t="s">
        <v>144</v>
      </c>
      <c r="D42" t="s">
        <v>23</v>
      </c>
      <c r="E42" t="s">
        <v>145</v>
      </c>
    </row>
    <row r="43" spans="1:5" x14ac:dyDescent="0.2">
      <c r="A43" t="s">
        <v>146</v>
      </c>
      <c r="B43">
        <f>1-415-488-3648</f>
        <v>-4550</v>
      </c>
      <c r="C43" t="s">
        <v>147</v>
      </c>
      <c r="D43" t="s">
        <v>148</v>
      </c>
      <c r="E43" t="s">
        <v>149</v>
      </c>
    </row>
    <row r="44" spans="1:5" x14ac:dyDescent="0.2">
      <c r="A44" t="s">
        <v>150</v>
      </c>
      <c r="B44" t="s">
        <v>151</v>
      </c>
      <c r="C44">
        <f>1-718-731-9024</f>
        <v>-10472</v>
      </c>
      <c r="D44" t="s">
        <v>152</v>
      </c>
      <c r="E44" t="s">
        <v>153</v>
      </c>
    </row>
    <row r="45" spans="1:5" x14ac:dyDescent="0.2">
      <c r="A45" t="s">
        <v>154</v>
      </c>
      <c r="B45" t="s">
        <v>155</v>
      </c>
      <c r="C45">
        <f>1-310-684-1170</f>
        <v>-2163</v>
      </c>
      <c r="D45" t="s">
        <v>156</v>
      </c>
      <c r="E45" t="s">
        <v>157</v>
      </c>
    </row>
    <row r="46" spans="1:5" x14ac:dyDescent="0.2">
      <c r="A46" t="s">
        <v>158</v>
      </c>
      <c r="B46">
        <v>515792068849933</v>
      </c>
      <c r="C46">
        <v>788744283972202</v>
      </c>
      <c r="D46" t="s">
        <v>159</v>
      </c>
      <c r="E46" t="s">
        <v>160</v>
      </c>
    </row>
    <row r="47" spans="1:5" x14ac:dyDescent="0.2">
      <c r="A47" t="s">
        <v>161</v>
      </c>
      <c r="B47">
        <v>358745580063247</v>
      </c>
      <c r="C47">
        <v>951561426147096</v>
      </c>
      <c r="D47" t="s">
        <v>79</v>
      </c>
      <c r="E47" t="s">
        <v>162</v>
      </c>
    </row>
    <row r="48" spans="1:5" x14ac:dyDescent="0.2">
      <c r="A48" t="s">
        <v>163</v>
      </c>
      <c r="B48">
        <v>901962741745642</v>
      </c>
      <c r="C48">
        <f>1-212-526-2606</f>
        <v>-3343</v>
      </c>
      <c r="D48" t="s">
        <v>64</v>
      </c>
      <c r="E48" t="s">
        <v>164</v>
      </c>
    </row>
    <row r="49" spans="1:5" x14ac:dyDescent="0.2">
      <c r="A49" t="s">
        <v>165</v>
      </c>
      <c r="B49">
        <v>915148788742184</v>
      </c>
      <c r="C49" t="s">
        <v>166</v>
      </c>
      <c r="D49" t="s">
        <v>167</v>
      </c>
      <c r="E49" t="s">
        <v>168</v>
      </c>
    </row>
    <row r="50" spans="1:5" x14ac:dyDescent="0.2">
      <c r="A50" t="s">
        <v>169</v>
      </c>
      <c r="B50">
        <f>1-305-492-3259</f>
        <v>-4055</v>
      </c>
      <c r="C50">
        <f>1-305-361-6632</f>
        <v>-7297</v>
      </c>
      <c r="D50" t="s">
        <v>170</v>
      </c>
      <c r="E50" t="s">
        <v>171</v>
      </c>
    </row>
    <row r="51" spans="1:5" x14ac:dyDescent="0.2">
      <c r="A51" t="s">
        <v>172</v>
      </c>
      <c r="B51">
        <f>1-202-469-3493</f>
        <v>-4163</v>
      </c>
      <c r="C51">
        <f>1-415-399-7863</f>
        <v>-8676</v>
      </c>
      <c r="D51" t="s">
        <v>173</v>
      </c>
      <c r="E51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2026-03-14T20:15:57Z</dcterms:created>
  <dcterms:modified xsi:type="dcterms:W3CDTF">2026-03-14T20:16:09Z</dcterms:modified>
</cp:coreProperties>
</file>